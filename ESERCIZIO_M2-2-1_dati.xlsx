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ordana\Desktop\"/>
    </mc:Choice>
  </mc:AlternateContent>
  <xr:revisionPtr revIDLastSave="0" documentId="13_ncr:1_{07D097CE-D1F0-492C-9035-37C6F4F12FF3}" xr6:coauthVersionLast="47" xr6:coauthVersionMax="47" xr10:uidLastSave="{00000000-0000-0000-0000-000000000000}"/>
  <bookViews>
    <workbookView xWindow="-38510" yWindow="-3900" windowWidth="38620" windowHeight="21100" xr2:uid="{00000000-000D-0000-FFFF-FFFF00000000}"/>
  </bookViews>
  <sheets>
    <sheet name="Prodot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G5" i="1"/>
  <c r="G4" i="1"/>
  <c r="G2" i="1"/>
  <c r="G3" i="1"/>
</calcChain>
</file>

<file path=xl/sharedStrings.xml><?xml version="1.0" encoding="utf-8"?>
<sst xmlns="http://schemas.openxmlformats.org/spreadsheetml/2006/main" count="43" uniqueCount="21">
  <si>
    <t>Azienda</t>
  </si>
  <si>
    <t>Prodotto</t>
  </si>
  <si>
    <t>Quantità</t>
  </si>
  <si>
    <t>Prezzo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</si>
  <si>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</si>
  <si>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</si>
  <si>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</si>
  <si>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</si>
  <si>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</si>
  <si>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</si>
  <si>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</si>
  <si>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</si>
  <si>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</si>
  <si>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</si>
  <si>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</si>
  <si>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</si>
  <si>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</si>
  <si>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</si>
  <si>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Totale aziende</t>
  </si>
  <si>
    <t>Totale per prodotto</t>
  </si>
  <si>
    <t>Totale costi per prodotti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</si>
</sst>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10]_-;\-* #,##0.00\ [$€-410]_-;_-* &quot;-&quot;??\ [$€-410]_-;_-@_-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5" fillId="0" borderId="0" xfId="1" applyNumberFormat="1" applyFont="1"/>
    <xf numFmtId="164" fontId="2" fillId="0" borderId="0" xfId="1" applyNumberFormat="1" applyFont="1"/>
    <xf numFmtId="1" fontId="2" fillId="0" borderId="0" xfId="0" applyNumberFormat="1" applyFont="1"/>
    <xf numFmtId="164" fontId="0" fillId="0" borderId="0" xfId="0" applyNumberFormat="1"/>
    <xf numFmtId="0" fontId="4" fillId="0" borderId="0" xfId="0" applyFont="1"/>
    <xf numFmtId="44" fontId="0" fillId="0" borderId="0" xfId="1" applyFont="1"/>
    <xf numFmtId="0" fontId="5" fillId="0" borderId="0" xfId="0" applyFont="1"/>
    <xf numFmtId="0" fontId="6" fillId="0" borderId="0" xfId="0" applyFont="1"/>
    <xf numFmtId="44" fontId="2" fillId="0" borderId="0" xfId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costi per aziende</a:t>
            </a:r>
          </a:p>
        </c:rich>
      </c:tx>
      <c:layout>
        <c:manualLayout>
          <c:xMode val="edge"/>
          <c:yMode val="edge"/>
          <c:x val="3.2223171647154651E-2"/>
          <c:y val="3.8483049828695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Prodotti!$G$1</c:f>
              <c:strCache>
                <c:ptCount val="1"/>
                <c:pt idx="0">
                  <c:v>Totale aziende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1D-44C3-A950-E7EBAED324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1D-44C3-A950-E7EBAED324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1D-44C3-A950-E7EBAED3244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C1D-44C3-A950-E7EBAED324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Prodotti!$F$2:$F$5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Prodotti!$G$2:$G$5</c:f>
              <c:numCache>
                <c:formatCode>_("€"* #,##0.00_);_("€"* \(#,##0.00\);_("€"* "-"??_);_(@_)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4-4CC6-8AAD-CAE304C7618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Prodotti!$G$7</c:f>
              <c:strCache>
                <c:ptCount val="1"/>
                <c:pt idx="0">
                  <c:v>Totale costi per prodotti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Prodotti!$F$8:$F$17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Prodotti!$G$8:$G$17</c:f>
              <c:numCache>
                <c:formatCode>_("€"* #,##0.00_);_("€"* \(#,##0.00\);_("€"* "-"??_);_(@_)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7-4AD7-9B3A-00F9807616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9862672"/>
        <c:axId val="9860272"/>
      </c:barChart>
      <c:catAx>
        <c:axId val="986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60272"/>
        <c:crosses val="autoZero"/>
        <c:auto val="1"/>
        <c:lblAlgn val="ctr"/>
        <c:lblOffset val="100"/>
        <c:noMultiLvlLbl val="0"/>
      </c:catAx>
      <c:valAx>
        <c:axId val="98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6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costi per aziende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Prodotti!$G$1</c:f>
              <c:strCache>
                <c:ptCount val="1"/>
                <c:pt idx="0">
                  <c:v>Totale aziende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Prodotti!$F$2:$F$5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Prodotti!$G$2:$G$5</c:f>
              <c:numCache>
                <c:formatCode>_("€"* #,##0.00_);_("€"* \(#,##0.00\);_("€"* "-"??_);_(@_)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1-447A-A10A-489EAB9B61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5657616"/>
        <c:axId val="1705646096"/>
      </c:barChart>
      <c:catAx>
        <c:axId val="170565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5646096"/>
        <c:crosses val="autoZero"/>
        <c:auto val="1"/>
        <c:lblAlgn val="ctr"/>
        <c:lblOffset val="100"/>
        <c:noMultiLvlLbl val="0"/>
      </c:catAx>
      <c:valAx>
        <c:axId val="170564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565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Prodotti!$G$7</c:f>
              <c:strCache>
                <c:ptCount val="1"/>
                <c:pt idx="0">
                  <c:v>Totale costi per prodotti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Prodotti!$F$8:$F$17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Prodotti!$G$8:$G$17</c:f>
              <c:numCache>
                <c:formatCode>_("€"* #,##0.00_);_("€"* \(#,##0.00\);_("€"* "-"??_);_(@_)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8-4414-8E77-27C76599A3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38224239"/>
        <c:axId val="1338217039"/>
      </c:barChart>
      <c:catAx>
        <c:axId val="133822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217039"/>
        <c:crosses val="autoZero"/>
        <c:auto val="1"/>
        <c:lblAlgn val="ctr"/>
        <c:lblOffset val="100"/>
        <c:noMultiLvlLbl val="0"/>
      </c:catAx>
      <c:valAx>
        <c:axId val="13382170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crossAx val="133822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>
      <c:oddHeader>&amp;CCOSTI DI PRODOTTO&amp;R
</c:oddHeader>
      <c:oddFooter>Pagina &amp;P di &amp;N</c:oddFooter>
    </c:headerFooter>
    <c:pageMargins b="0.74803149606299213" l="0.70866141732283472" r="0.70866141732283472" t="0.74803149606299213" header="0.31496062992125984" footer="0.31496062992125984"/>
    <c:pageSetup paperSize="9"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49952</xdr:colOff>
      <xdr:row>48</xdr:row>
      <xdr:rowOff>149436</xdr:rowOff>
    </xdr:from>
    <xdr:to>
      <xdr:col>3</xdr:col>
      <xdr:colOff>982980</xdr:colOff>
      <xdr:row>74</xdr:row>
      <xdr:rowOff>64771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F977AFD-3C1B-3940-50E9-A5F94C29A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160654</xdr:colOff>
      <xdr:row>20</xdr:row>
      <xdr:rowOff>10583</xdr:rowOff>
    </xdr:from>
    <xdr:to>
      <xdr:col>4</xdr:col>
      <xdr:colOff>455083</xdr:colOff>
      <xdr:row>45</xdr:row>
      <xdr:rowOff>83397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90F5EDE-70B2-BBE4-05C6-1060770F6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1239308</xdr:colOff>
      <xdr:row>48</xdr:row>
      <xdr:rowOff>111336</xdr:rowOff>
    </xdr:from>
    <xdr:to>
      <xdr:col>6</xdr:col>
      <xdr:colOff>1235711</xdr:colOff>
      <xdr:row>74</xdr:row>
      <xdr:rowOff>91861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64B2041-C025-BA00-8690-F094DAF36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570229</xdr:colOff>
      <xdr:row>25</xdr:row>
      <xdr:rowOff>42334</xdr:rowOff>
    </xdr:from>
    <xdr:to>
      <xdr:col>6</xdr:col>
      <xdr:colOff>1248833</xdr:colOff>
      <xdr:row>42</xdr:row>
      <xdr:rowOff>83398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DEFB231-184D-EC18-7333-6C1E8D985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7"/>
  <sheetViews>
    <sheetView tabSelected="1" zoomScaleNormal="100" workbookViewId="0">
      <selection activeCell="J16" sqref="J16"/>
    </sheetView>
  </sheetViews>
  <sheetFormatPr defaultColWidth="12.6640625" defaultRowHeight="15.75" customHeight="1" x14ac:dyDescent="0.25"/>
  <cols>
    <col min="1" max="1" width="19.77734375" customWidth="1"/>
    <col min="2" max="2" width="9.77734375" bestFit="1" customWidth="1"/>
    <col min="3" max="3" width="22.33203125" customWidth="1"/>
    <col min="4" max="4" width="24" customWidth="1"/>
    <col min="5" max="5" width="19.77734375" bestFit="1" customWidth="1"/>
    <col min="6" max="6" width="18.44140625" bestFit="1" customWidth="1"/>
    <col min="7" max="7" width="21.6640625" customWidth="1"/>
    <col min="8" max="8" width="19.77734375" bestFit="1" customWidth="1"/>
  </cols>
  <sheetData>
    <row r="1" spans="1:24" ht="13.8" x14ac:dyDescent="0.25">
      <c r="A1" s="1" t="s">
        <v>0</v>
      </c>
      <c r="B1" s="1" t="s">
        <v>1</v>
      </c>
      <c r="C1" s="7" t="s">
        <v>2</v>
      </c>
      <c r="D1" s="1" t="s">
        <v>3</v>
      </c>
      <c r="E1" s="7" t="s">
        <v>19</v>
      </c>
      <c r="F1" s="1" t="s">
        <v>0</v>
      </c>
      <c r="G1" s="7" t="s">
        <v>18</v>
      </c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2" x14ac:dyDescent="0.25">
      <c r="A2" s="9" t="s">
        <v>4</v>
      </c>
      <c r="B2" s="2" t="s">
        <v>5</v>
      </c>
      <c r="C2" s="5">
        <v>500</v>
      </c>
      <c r="D2" s="3">
        <v>15.75</v>
      </c>
      <c r="E2" s="6">
        <f>C2*D2</f>
        <v>7875</v>
      </c>
      <c r="F2" s="9" t="s">
        <v>4</v>
      </c>
      <c r="G2" s="8">
        <f>SUMIF($A$2:$A$11,"Tech Innovations Ltd.",$E$2:$E$11)</f>
        <v>25575</v>
      </c>
      <c r="H2" s="6"/>
    </row>
    <row r="3" spans="1:24" ht="13.2" x14ac:dyDescent="0.25">
      <c r="A3" s="2" t="s">
        <v>4</v>
      </c>
      <c r="B3" s="2" t="s">
        <v>6</v>
      </c>
      <c r="C3" s="5">
        <v>1200</v>
      </c>
      <c r="D3" s="3">
        <v>8.5</v>
      </c>
      <c r="E3" s="6">
        <f t="shared" ref="E3:E11" si="0">C3*D3</f>
        <v>10200</v>
      </c>
      <c r="F3" s="9" t="s">
        <v>7</v>
      </c>
      <c r="G3" s="8">
        <f>SUMIF($A$2:$A$11,"SolarTech Solutions",$E$2:$E$11)</f>
        <v>31100</v>
      </c>
      <c r="H3" s="6"/>
    </row>
    <row r="4" spans="1:24" ht="13.2" x14ac:dyDescent="0.25">
      <c r="A4" s="2" t="s">
        <v>7</v>
      </c>
      <c r="B4" s="2" t="s">
        <v>8</v>
      </c>
      <c r="C4" s="5">
        <v>800</v>
      </c>
      <c r="D4" s="4">
        <v>12.25</v>
      </c>
      <c r="E4" s="6">
        <f t="shared" si="0"/>
        <v>9800</v>
      </c>
      <c r="F4" s="9" t="s">
        <v>11</v>
      </c>
      <c r="G4" s="8">
        <f>SUMIF($A$2:$A$11,"AquaLux Dynamics",$E$2:$E$11)</f>
        <v>37725</v>
      </c>
      <c r="H4" s="6"/>
    </row>
    <row r="5" spans="1:24" ht="13.2" x14ac:dyDescent="0.25">
      <c r="A5" s="2" t="s">
        <v>4</v>
      </c>
      <c r="B5" s="2" t="s">
        <v>9</v>
      </c>
      <c r="C5" s="5">
        <v>300</v>
      </c>
      <c r="D5" s="4">
        <v>25</v>
      </c>
      <c r="E5" s="6">
        <f t="shared" si="0"/>
        <v>7500</v>
      </c>
      <c r="F5" s="9" t="s">
        <v>16</v>
      </c>
      <c r="G5" s="8">
        <f>SUMIF($A$2:$A$11,"EcoVibe Solutions",$E$2:$E$11)</f>
        <v>13500</v>
      </c>
      <c r="H5" s="6"/>
    </row>
    <row r="6" spans="1:24" ht="13.2" x14ac:dyDescent="0.25">
      <c r="A6" s="2" t="s">
        <v>7</v>
      </c>
      <c r="B6" s="2" t="s">
        <v>10</v>
      </c>
      <c r="C6" s="5">
        <v>1500</v>
      </c>
      <c r="D6" s="4">
        <v>6.5</v>
      </c>
      <c r="E6" s="6">
        <f t="shared" si="0"/>
        <v>9750</v>
      </c>
      <c r="G6" s="2"/>
      <c r="H6" s="6"/>
    </row>
    <row r="7" spans="1:24" ht="13.2" x14ac:dyDescent="0.25">
      <c r="A7" s="2" t="s">
        <v>11</v>
      </c>
      <c r="B7" s="2" t="s">
        <v>12</v>
      </c>
      <c r="C7" s="5">
        <v>700</v>
      </c>
      <c r="D7" s="4">
        <v>18.75</v>
      </c>
      <c r="E7" s="6">
        <f t="shared" si="0"/>
        <v>13125</v>
      </c>
      <c r="F7" s="10" t="s">
        <v>1</v>
      </c>
      <c r="G7" s="10" t="s">
        <v>20</v>
      </c>
      <c r="H7" s="6"/>
    </row>
    <row r="8" spans="1:24" ht="13.2" x14ac:dyDescent="0.25">
      <c r="A8" s="2" t="s">
        <v>11</v>
      </c>
      <c r="B8" s="2" t="s">
        <v>13</v>
      </c>
      <c r="C8" s="5">
        <v>900</v>
      </c>
      <c r="D8" s="4">
        <v>14</v>
      </c>
      <c r="E8" s="6">
        <f t="shared" si="0"/>
        <v>12600</v>
      </c>
      <c r="F8" t="s">
        <v>5</v>
      </c>
      <c r="G8" s="11">
        <v>7875</v>
      </c>
      <c r="H8" s="6"/>
    </row>
    <row r="9" spans="1:24" ht="13.2" x14ac:dyDescent="0.25">
      <c r="A9" s="2" t="s">
        <v>7</v>
      </c>
      <c r="B9" s="2" t="s">
        <v>14</v>
      </c>
      <c r="C9" s="5">
        <v>1100</v>
      </c>
      <c r="D9" s="4">
        <v>10.5</v>
      </c>
      <c r="E9" s="6">
        <f t="shared" si="0"/>
        <v>11550</v>
      </c>
      <c r="F9" t="s">
        <v>6</v>
      </c>
      <c r="G9" s="11">
        <v>10200</v>
      </c>
      <c r="H9" s="6"/>
    </row>
    <row r="10" spans="1:24" ht="13.2" x14ac:dyDescent="0.25">
      <c r="A10" s="2" t="s">
        <v>11</v>
      </c>
      <c r="B10" s="2" t="s">
        <v>15</v>
      </c>
      <c r="C10" s="5">
        <v>600</v>
      </c>
      <c r="D10" s="4">
        <v>20</v>
      </c>
      <c r="E10" s="6">
        <f t="shared" si="0"/>
        <v>12000</v>
      </c>
      <c r="F10" t="s">
        <v>8</v>
      </c>
      <c r="G10" s="8">
        <v>9800</v>
      </c>
      <c r="H10" s="6"/>
    </row>
    <row r="11" spans="1:24" ht="13.2" x14ac:dyDescent="0.25">
      <c r="A11" s="2" t="s">
        <v>16</v>
      </c>
      <c r="B11" s="2" t="s">
        <v>17</v>
      </c>
      <c r="C11" s="5">
        <v>1000</v>
      </c>
      <c r="D11" s="4">
        <v>13.5</v>
      </c>
      <c r="E11" s="6">
        <f t="shared" si="0"/>
        <v>13500</v>
      </c>
      <c r="F11" t="s">
        <v>9</v>
      </c>
      <c r="G11" s="8">
        <v>7500</v>
      </c>
      <c r="H11" s="6"/>
    </row>
    <row r="12" spans="1:24" ht="15.75" customHeight="1" x14ac:dyDescent="0.25">
      <c r="F12" t="s">
        <v>10</v>
      </c>
      <c r="G12" s="8">
        <v>9750</v>
      </c>
    </row>
    <row r="13" spans="1:24" ht="15.75" customHeight="1" x14ac:dyDescent="0.25">
      <c r="F13" t="s">
        <v>12</v>
      </c>
      <c r="G13" s="8">
        <v>13125</v>
      </c>
    </row>
    <row r="14" spans="1:24" ht="15.75" customHeight="1" x14ac:dyDescent="0.25">
      <c r="F14" t="s">
        <v>13</v>
      </c>
      <c r="G14" s="8">
        <v>12600</v>
      </c>
    </row>
    <row r="15" spans="1:24" ht="15.75" customHeight="1" x14ac:dyDescent="0.25">
      <c r="F15" t="s">
        <v>14</v>
      </c>
      <c r="G15" s="8">
        <v>11550</v>
      </c>
    </row>
    <row r="16" spans="1:24" ht="15.75" customHeight="1" x14ac:dyDescent="0.25">
      <c r="F16" t="s">
        <v>15</v>
      </c>
      <c r="G16" s="8">
        <v>12000</v>
      </c>
    </row>
    <row r="17" spans="6:7" ht="15.75" customHeight="1" x14ac:dyDescent="0.25">
      <c r="F17" t="s">
        <v>17</v>
      </c>
      <c r="G17" s="8">
        <v>13500</v>
      </c>
    </row>
  </sheetData>
  <pageMargins left="0.19927536231884058" right="0.19685039370078741" top="0.39370078740157483" bottom="0.39370078740157483" header="0.11811023622047245" footer="0.31496062992125984"/>
  <pageSetup paperSize="9" scale="74" orientation="portrait" horizontalDpi="0" verticalDpi="0" r:id="rId1"/>
  <headerFooter>
    <oddHeader>&amp;L
&amp;CSpese recenti</oddHeader>
  </headerFooter>
  <rowBreaks count="2" manualBreakCount="2">
    <brk id="18" max="6" man="1"/>
    <brk id="47" max="16383" man="1"/>
  </rowBreaks>
  <colBreaks count="2" manualBreakCount="2">
    <brk id="9" max="1048575" man="1"/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Giordana Greco</cp:lastModifiedBy>
  <cp:lastPrinted>2026-02-22T13:34:41Z</cp:lastPrinted>
  <dcterms:modified xsi:type="dcterms:W3CDTF">2026-02-22T13:35:01Z</dcterms:modified>
</cp:coreProperties>
</file>